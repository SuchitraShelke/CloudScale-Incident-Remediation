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Token Economics" sheetId="3" state="visible" r:id="rId3"/>
    <sheet name="TCO" sheetId="4" state="visible" r:id="rId4"/>
    <sheet name="Benefits" sheetId="5" state="visible" r:id="rId5"/>
    <sheet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#,##0;(#,##0);&quot;-&quot;"/>
    <numFmt numFmtId="166" formatCode="0.0%;(0.0%);&quot;-&quot;"/>
    <numFmt numFmtId="167" formatCode="$#,##0.00;($#,##0.00);&quot;-&quot;"/>
    <numFmt numFmtId="168" formatCode="$#,##0.0000;($#,##0.0000);&quot;-&quot;"/>
    <numFmt numFmtId="169" formatCode="0.00&quot;x&quot;"/>
    <numFmt numFmtId="170" formatCode="#,##0.0;(#,##0.0);&quot;-&quot;"/>
    <numFmt numFmtId="171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center" wrapText="1"/>
    </xf>
    <xf numFmtId="0" fontId="4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171" fontId="6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166" fontId="3" fillId="0" borderId="0" pivotButton="0" quotePrefix="0" xfId="0"/>
    <xf numFmtId="1" fontId="3" fillId="3" borderId="0" pivotButton="0" quotePrefix="0" xfId="0"/>
    <xf numFmtId="168" fontId="3" fillId="0" borderId="0" pivotButton="0" quotePrefix="0" xfId="0"/>
    <xf numFmtId="0" fontId="2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6" fontId="4" fillId="0" borderId="0" pivotButton="0" quotePrefix="0" xfId="0"/>
    <xf numFmtId="165" fontId="5" fillId="3" borderId="0" pivotButton="0" quotePrefix="0" xfId="0"/>
    <xf numFmtId="167" fontId="5" fillId="0" borderId="0" pivotButton="0" quotePrefix="0" xfId="0"/>
    <xf numFmtId="168" fontId="4" fillId="0" borderId="0" pivotButton="0" quotePrefix="0" xfId="0"/>
    <xf numFmtId="169" fontId="5" fillId="0" borderId="0" pivotButton="0" quotePrefix="0" xfId="0"/>
    <xf numFmtId="168" fontId="4" fillId="3" borderId="0" pivotButton="0" quotePrefix="0" xfId="0"/>
    <xf numFmtId="168" fontId="5" fillId="0" borderId="0" pivotButton="0" quotePrefix="0" xfId="0"/>
    <xf numFmtId="165" fontId="6" fillId="0" borderId="0" pivotButton="0" quotePrefix="0" xfId="0"/>
    <xf numFmtId="170" fontId="6" fillId="0" borderId="0" pivotButton="0" quotePrefix="0" xfId="0"/>
    <xf numFmtId="165" fontId="4" fillId="0" borderId="0" pivotButton="0" quotePrefix="0" xfId="0"/>
    <xf numFmtId="17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CloudScale model</author>
  </authors>
  <commentList>
    <comment ref="B14" authorId="0" shapeId="0">
      <text>
        <t>Blueprint target 15-25 %. Demo re-runs hit 100 %; not a production figure.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CloudScale incident platform: 3-year TCO / ROI</t>
        </is>
      </c>
    </row>
    <row r="2">
      <c r="A2" t="inlineStr">
        <is>
          <t>All figures are formulas over the Inputs and Token Economics sheets.</t>
        </is>
      </c>
    </row>
    <row r="4">
      <c r="A4" s="2" t="inlineStr">
        <is>
          <t>Year</t>
        </is>
      </c>
      <c r="B4" s="3" t="inlineStr">
        <is>
          <t>Platform cost</t>
        </is>
      </c>
      <c r="C4" s="3" t="inlineStr">
        <is>
          <t>Benefit</t>
        </is>
      </c>
      <c r="D4" s="3" t="inlineStr">
        <is>
          <t>Net</t>
        </is>
      </c>
      <c r="E4" s="3" t="inlineStr">
        <is>
          <t>Cumulative</t>
        </is>
      </c>
      <c r="F4" s="3" t="inlineStr">
        <is>
          <t>Discount factor</t>
        </is>
      </c>
      <c r="G4" s="3" t="inlineStr">
        <is>
          <t>Present value</t>
        </is>
      </c>
    </row>
    <row r="5">
      <c r="A5" s="4" t="inlineStr">
        <is>
          <t>Y0</t>
        </is>
      </c>
      <c r="B5" s="5">
        <f>TCO!B17</f>
        <v/>
      </c>
      <c r="C5" s="6">
        <f>0</f>
        <v/>
      </c>
      <c r="D5" s="6">
        <f>C5-B5</f>
        <v/>
      </c>
      <c r="E5" s="6">
        <f>D5</f>
        <v/>
      </c>
      <c r="F5" s="7">
        <f>1/(1+Inputs!$B$18)^0</f>
        <v/>
      </c>
      <c r="G5" s="6">
        <f>D5*F5</f>
        <v/>
      </c>
    </row>
    <row r="6">
      <c r="A6" s="4" t="inlineStr">
        <is>
          <t>Y1</t>
        </is>
      </c>
      <c r="B6" s="5">
        <f>TCO!B10</f>
        <v/>
      </c>
      <c r="C6" s="5">
        <f>Benefits!B14</f>
        <v/>
      </c>
      <c r="D6" s="6">
        <f>C6-B6</f>
        <v/>
      </c>
      <c r="E6" s="6">
        <f>E5+D6</f>
        <v/>
      </c>
      <c r="F6" s="7">
        <f>1/(1+Inputs!$B$18)^1</f>
        <v/>
      </c>
      <c r="G6" s="6">
        <f>D6*F6</f>
        <v/>
      </c>
    </row>
    <row r="7">
      <c r="A7" s="4" t="inlineStr">
        <is>
          <t>Y2</t>
        </is>
      </c>
      <c r="B7" s="5">
        <f>TCO!C10</f>
        <v/>
      </c>
      <c r="C7" s="5">
        <f>Benefits!C14</f>
        <v/>
      </c>
      <c r="D7" s="6">
        <f>C7-B7</f>
        <v/>
      </c>
      <c r="E7" s="6">
        <f>E6+D7</f>
        <v/>
      </c>
      <c r="F7" s="7">
        <f>1/(1+Inputs!$B$18)^2</f>
        <v/>
      </c>
      <c r="G7" s="6">
        <f>D7*F7</f>
        <v/>
      </c>
    </row>
    <row r="8">
      <c r="A8" s="4" t="inlineStr">
        <is>
          <t>Y3</t>
        </is>
      </c>
      <c r="B8" s="5">
        <f>TCO!D10</f>
        <v/>
      </c>
      <c r="C8" s="5">
        <f>Benefits!D14</f>
        <v/>
      </c>
      <c r="D8" s="6">
        <f>C8-B8</f>
        <v/>
      </c>
      <c r="E8" s="6">
        <f>E7+D8</f>
        <v/>
      </c>
      <c r="F8" s="7">
        <f>1/(1+Inputs!$B$18)^3</f>
        <v/>
      </c>
      <c r="G8" s="6">
        <f>D8*F8</f>
        <v/>
      </c>
    </row>
    <row r="9">
      <c r="A9" s="8" t="inlineStr">
        <is>
          <t>3-year total</t>
        </is>
      </c>
      <c r="B9" s="9">
        <f>SUM(B5:B8)</f>
        <v/>
      </c>
      <c r="C9" s="9">
        <f>SUM(C5:C8)</f>
        <v/>
      </c>
      <c r="D9" s="9">
        <f>SUM(D5:D8)</f>
        <v/>
      </c>
      <c r="G9" s="9">
        <f>SUM(G5:G8)</f>
        <v/>
      </c>
    </row>
    <row r="11">
      <c r="A11" s="8" t="inlineStr">
        <is>
          <t>NPV (10 %)</t>
        </is>
      </c>
      <c r="B11" s="10">
        <f>G9</f>
        <v/>
      </c>
    </row>
    <row r="12">
      <c r="A12" s="8" t="inlineStr">
        <is>
          <t>3-year net</t>
        </is>
      </c>
      <c r="B12" s="10">
        <f>E8</f>
        <v/>
      </c>
    </row>
    <row r="13">
      <c r="A13" s="8" t="inlineStr">
        <is>
          <t>Benefit-cost ratio</t>
        </is>
      </c>
      <c r="B13" s="11">
        <f>IF(B9=0,0,C9/B9)</f>
        <v/>
      </c>
    </row>
    <row r="14">
      <c r="A14" s="8" t="inlineStr">
        <is>
          <t>Net ROI</t>
        </is>
      </c>
      <c r="B14" s="12">
        <f>IF(B9=0,0,E8/B9)</f>
        <v/>
      </c>
    </row>
    <row r="15">
      <c r="A15" s="8" t="inlineStr">
        <is>
          <t>Payback (month of operation)</t>
        </is>
      </c>
      <c r="B15" s="13">
        <f>IF(E6&gt;=0,ROUNDUP(-E5/(D6/12),0),IF(E7&gt;=0,12+ROUNDUP(-E6/(D7/12),0),IF(E8&gt;=0,24+ROUNDUP(-E7/(D8/12),0),"&gt; 36")))</f>
        <v/>
      </c>
    </row>
    <row r="16">
      <c r="A16" s="8" t="inlineStr">
        <is>
          <t>LLM share of 3-year cost</t>
        </is>
      </c>
      <c r="B16" s="12">
        <f>(SUM(TCO!B6:D7)*12)/B9</f>
        <v/>
      </c>
    </row>
    <row r="17">
      <c r="A17" s="8" t="inlineStr">
        <is>
          <t>LLM cost per incident (as built, measured on OpenAI)</t>
        </is>
      </c>
      <c r="B17" s="14">
        <f>'Token Economics'!B45</f>
        <v/>
      </c>
    </row>
    <row r="18">
      <c r="A18" s="8" t="inlineStr">
        <is>
          <t>LLM cost per SRE-minute saved (automated path)</t>
        </is>
      </c>
      <c r="B18" s="14">
        <f>B17/Inputs!B11</f>
        <v/>
      </c>
    </row>
    <row r="19">
      <c r="A19" s="8" t="inlineStr">
        <is>
          <t>SRE hours freed, Y1 / Y3</t>
        </is>
      </c>
      <c r="B19" s="8">
        <f>TEXT(Benefits!B13*12,"#,##0")&amp;" h / "&amp;TEXT(Benefits!D13*12,"#,##0")&amp;" h"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Inputs and assumptions</t>
        </is>
      </c>
    </row>
    <row r="2">
      <c r="A2" s="15" t="inlineStr">
        <is>
          <t>Blue = input you can change · black = formula · green = link to another sheet. Source: CapstoneProjectPlan_v2.md §17 unless noted.</t>
        </is>
      </c>
    </row>
    <row r="3">
      <c r="A3" s="2" t="inlineStr">
        <is>
          <t>Assumption</t>
        </is>
      </c>
      <c r="B3" s="3" t="inlineStr">
        <is>
          <t>Y1</t>
        </is>
      </c>
      <c r="C3" s="3" t="inlineStr">
        <is>
          <t>Y2</t>
        </is>
      </c>
      <c r="D3" s="3" t="inlineStr">
        <is>
          <t>Y3</t>
        </is>
      </c>
      <c r="E3" s="3" t="inlineStr">
        <is>
          <t>Note</t>
        </is>
      </c>
    </row>
    <row r="4">
      <c r="A4" s="4" t="inlineStr">
        <is>
          <t>SRE fully loaded rate ($/h)</t>
        </is>
      </c>
      <c r="B4" s="16" t="n">
        <v>150</v>
      </c>
      <c r="E4" s="4" t="inlineStr">
        <is>
          <t>Blueprint §17.1</t>
        </is>
      </c>
    </row>
    <row r="5">
      <c r="A5" s="4" t="inlineStr">
        <is>
          <t>Incidents per month, Y1</t>
        </is>
      </c>
      <c r="B5" s="17" t="n">
        <v>200</v>
      </c>
      <c r="E5" s="4" t="inlineStr">
        <is>
          <t>Blueprint §17.1</t>
        </is>
      </c>
    </row>
    <row r="6">
      <c r="A6" s="4" t="inlineStr">
        <is>
          <t>Incident growth per year</t>
        </is>
      </c>
      <c r="B6" s="18" t="n">
        <v>0.3</v>
      </c>
      <c r="E6" s="4" t="inlineStr">
        <is>
          <t>+30 % YoY</t>
        </is>
      </c>
    </row>
    <row r="7">
      <c r="A7" s="4" t="inlineStr">
        <is>
          <t>Share of incidents routed through the platform</t>
        </is>
      </c>
      <c r="B7" s="18" t="n">
        <v>0.7</v>
      </c>
      <c r="C7" s="18" t="n">
        <v>0.9</v>
      </c>
      <c r="D7" s="18" t="n">
        <v>0.95</v>
      </c>
      <c r="E7" s="4" t="inlineStr">
        <is>
          <t>Adoption ramp; v1 assumed 100 % on day 1</t>
        </is>
      </c>
    </row>
    <row r="8">
      <c r="A8" s="4" t="inlineStr">
        <is>
          <t>Outcome mix: automated</t>
        </is>
      </c>
      <c r="B8" s="18" t="n">
        <v>0.4</v>
      </c>
      <c r="C8" s="18" t="n">
        <v>0.5</v>
      </c>
      <c r="D8" s="18" t="n">
        <v>0.55</v>
      </c>
      <c r="E8" s="4" t="inlineStr">
        <is>
          <t>Informed by the scenario gate mix</t>
        </is>
      </c>
    </row>
    <row r="9">
      <c r="A9" s="4" t="inlineStr">
        <is>
          <t>Outcome mix: human-approved (HITL)</t>
        </is>
      </c>
      <c r="B9" s="18" t="n">
        <v>0.4</v>
      </c>
      <c r="C9" s="18" t="n">
        <v>0.35</v>
      </c>
      <c r="D9" s="18" t="n">
        <v>0.32</v>
      </c>
      <c r="E9" s="4" t="inlineStr"/>
    </row>
    <row r="10">
      <c r="A10" s="4" t="inlineStr">
        <is>
          <t>Outcome mix: escalated</t>
        </is>
      </c>
      <c r="B10" s="19">
        <f>1-B8-B9</f>
        <v/>
      </c>
      <c r="C10" s="19">
        <f>1-C8-C9</f>
        <v/>
      </c>
      <c r="D10" s="19">
        <f>1-D8-D9</f>
        <v/>
      </c>
      <c r="E10" t="inlineStr">
        <is>
          <t>Remainder of the mix</t>
        </is>
      </c>
    </row>
    <row r="11">
      <c r="A11" s="4" t="inlineStr">
        <is>
          <t>Minutes saved per automated incident</t>
        </is>
      </c>
      <c r="B11" s="17" t="n">
        <v>38</v>
      </c>
      <c r="E11" s="4" t="inlineStr">
        <is>
          <t>45 min manual MTTR -&gt; ~7 min incl. post-review</t>
        </is>
      </c>
    </row>
    <row r="12">
      <c r="A12" s="4" t="inlineStr">
        <is>
          <t>Minutes saved per HITL incident</t>
        </is>
      </c>
      <c r="B12" s="17" t="n">
        <v>25</v>
      </c>
      <c r="E12" s="4" t="inlineStr">
        <is>
          <t>45 -&gt; 20 min</t>
        </is>
      </c>
    </row>
    <row r="13">
      <c r="A13" s="4" t="inlineStr">
        <is>
          <t>Minutes saved per escalated incident</t>
        </is>
      </c>
      <c r="B13" s="17" t="n">
        <v>10</v>
      </c>
      <c r="E13" s="4" t="inlineStr">
        <is>
          <t>Diagnosis already done when a human picks it up</t>
        </is>
      </c>
    </row>
    <row r="14">
      <c r="A14" s="4" t="inlineStr">
        <is>
          <t>Bad-remediation rate (automated + HITL)</t>
        </is>
      </c>
      <c r="B14" s="18" t="n">
        <v>0.02</v>
      </c>
      <c r="C14" s="18" t="n">
        <v>0.02</v>
      </c>
      <c r="D14" s="18" t="n">
        <v>0.015</v>
      </c>
      <c r="E14" s="4" t="inlineStr">
        <is>
          <t>Share that makes things worse</t>
        </is>
      </c>
    </row>
    <row r="15">
      <c r="A15" s="4" t="inlineStr">
        <is>
          <t>Extra minutes per bad remediation</t>
        </is>
      </c>
      <c r="B15" s="17" t="n">
        <v>120</v>
      </c>
      <c r="E15" s="4" t="inlineStr">
        <is>
          <t>Cost of cleaning up a bad fix</t>
        </is>
      </c>
    </row>
    <row r="16">
      <c r="A16" s="4" t="inlineStr">
        <is>
          <t>Platform maintenance (hours / month)</t>
        </is>
      </c>
      <c r="B16" s="17" t="n">
        <v>20</v>
      </c>
      <c r="C16" s="17" t="n">
        <v>20</v>
      </c>
      <c r="D16" s="17" t="n">
        <v>16</v>
      </c>
      <c r="E16" s="4" t="inlineStr">
        <is>
          <t>20 h x $150 = $3,000 / month</t>
        </is>
      </c>
    </row>
    <row r="17">
      <c r="A17" s="4" t="inlineStr">
        <is>
          <t>LLM evaluation + staging ($ / month)</t>
        </is>
      </c>
      <c r="B17" s="16" t="n">
        <v>100</v>
      </c>
      <c r="E17" s="4" t="inlineStr">
        <is>
          <t>Prompt iteration, eval runs</t>
        </is>
      </c>
    </row>
    <row r="18">
      <c r="A18" s="4" t="inlineStr">
        <is>
          <t>Discount rate</t>
        </is>
      </c>
      <c r="B18" s="18" t="n">
        <v>0.1</v>
      </c>
      <c r="E18" s="4" t="inlineStr"/>
    </row>
    <row r="19">
      <c r="A19" s="4" t="inlineStr">
        <is>
          <t>Azure warm DR ($ / month, sensitivity only)</t>
        </is>
      </c>
      <c r="B19" s="16" t="n">
        <v>500</v>
      </c>
      <c r="E19" s="4" t="inlineStr">
        <is>
          <t>ADR-007</t>
        </is>
      </c>
    </row>
    <row r="21">
      <c r="A21" s="8" t="inlineStr">
        <is>
          <t>Year 0 (one-time)</t>
        </is>
      </c>
    </row>
    <row r="22">
      <c r="A22" s="4" t="inlineStr">
        <is>
          <t>Capstone build (hours)</t>
        </is>
      </c>
      <c r="B22" s="20" t="n">
        <v>24</v>
      </c>
      <c r="E22" t="inlineStr">
        <is>
          <t>Actual: 1 developer + Claude, 2 days (~24 h). Blueprint assumed 10 engineers x 12 h = 120 h</t>
        </is>
      </c>
    </row>
    <row r="23">
      <c r="A23" s="4" t="inlineStr">
        <is>
          <t>Productionization ($): real K8s/cloud adapters, OIDC, mesh mTLS, pen test</t>
        </is>
      </c>
      <c r="B23" s="16" t="n">
        <v>72000</v>
      </c>
      <c r="E23" t="inlineStr">
        <is>
          <t>2 engineers x 6 weeks x $150/h</t>
        </is>
      </c>
    </row>
    <row r="24">
      <c r="A24" s="4" t="inlineStr">
        <is>
          <t>Cloud landing zone + hardening ($)</t>
        </is>
      </c>
      <c r="B24" s="16" t="n">
        <v>2000</v>
      </c>
      <c r="E24" t="inlineStr"/>
    </row>
    <row r="25">
      <c r="A25" s="4" t="inlineStr">
        <is>
          <t>Policy authoring + review: OPA, gate policy ($)</t>
        </is>
      </c>
      <c r="B25" s="16" t="n">
        <v>1500</v>
      </c>
      <c r="E25" t="inlineStr"/>
    </row>
    <row r="27">
      <c r="A27" s="8" t="inlineStr">
        <is>
          <t>Infrastructure ($ / month, AWS EKS us-east-1 on-demand estimates)</t>
        </is>
      </c>
    </row>
    <row r="28">
      <c r="A28" s="4" t="inlineStr">
        <is>
          <t>EKS control plane</t>
        </is>
      </c>
      <c r="B28" s="16" t="n">
        <v>73</v>
      </c>
      <c r="C28" s="16" t="n">
        <v>73</v>
      </c>
      <c r="D28" s="16" t="n">
        <v>73</v>
      </c>
      <c r="E28" t="inlineStr">
        <is>
          <t>Validate with the AWS Pricing Calculator before external use (ADR-007)</t>
        </is>
      </c>
    </row>
    <row r="29">
      <c r="A29" s="4" t="inlineStr">
        <is>
          <t>App node group (m6i.large x3/4/5)</t>
        </is>
      </c>
      <c r="B29" s="16" t="n">
        <v>210</v>
      </c>
      <c r="C29" s="16" t="n">
        <v>280</v>
      </c>
      <c r="D29" s="16" t="n">
        <v>350</v>
      </c>
    </row>
    <row r="30">
      <c r="A30" s="4" t="inlineStr">
        <is>
          <t>Guard node (c6i.xlarge, Llama Guard)</t>
        </is>
      </c>
      <c r="B30" s="16" t="n">
        <v>124</v>
      </c>
      <c r="C30" s="16" t="n">
        <v>124</v>
      </c>
      <c r="D30" s="16" t="n">
        <v>124</v>
      </c>
    </row>
    <row r="31">
      <c r="A31" s="4" t="inlineStr">
        <is>
          <t>RDS PostgreSQL (db.t4g.medium, Multi-AZ, 50 GB)</t>
        </is>
      </c>
      <c r="B31" s="16" t="n">
        <v>105</v>
      </c>
      <c r="C31" s="16" t="n">
        <v>105</v>
      </c>
      <c r="D31" s="16" t="n">
        <v>105</v>
      </c>
    </row>
    <row r="32">
      <c r="A32" s="4" t="inlineStr">
        <is>
          <t>ElastiCache Redis (cache.t4g.medium)</t>
        </is>
      </c>
      <c r="B32" s="16" t="n">
        <v>47</v>
      </c>
      <c r="C32" s="16" t="n">
        <v>47</v>
      </c>
      <c r="D32" s="16" t="n">
        <v>47</v>
      </c>
    </row>
    <row r="33">
      <c r="A33" s="4" t="inlineStr">
        <is>
          <t>Networking (ALB + NAT + egress)</t>
        </is>
      </c>
      <c r="B33" s="16" t="n">
        <v>70</v>
      </c>
      <c r="C33" s="16" t="n">
        <v>70</v>
      </c>
      <c r="D33" s="16" t="n">
        <v>70</v>
      </c>
    </row>
    <row r="34">
      <c r="A34" s="4" t="inlineStr">
        <is>
          <t>Observability storage (30-day)</t>
        </is>
      </c>
      <c r="B34" s="16" t="n">
        <v>40</v>
      </c>
      <c r="C34" s="16" t="n">
        <v>40</v>
      </c>
      <c r="D34" s="16" t="n">
        <v>40</v>
      </c>
    </row>
    <row r="35">
      <c r="A35" s="4" t="inlineStr">
        <is>
          <t>Logs, registry, secrets</t>
        </is>
      </c>
      <c r="B35" s="16" t="n">
        <v>20</v>
      </c>
      <c r="C35" s="16" t="n">
        <v>20</v>
      </c>
      <c r="D35" s="16" t="n">
        <v>20</v>
      </c>
    </row>
    <row r="38">
      <c r="A38" s="8" t="inlineStr">
        <is>
          <t>Sensitivity levers</t>
        </is>
      </c>
    </row>
    <row r="39">
      <c r="A39" s="4" t="inlineStr">
        <is>
          <t>Lower automation: points shifted automated -&gt; HITL</t>
        </is>
      </c>
      <c r="B39" s="18" t="n">
        <v>0.15</v>
      </c>
    </row>
    <row r="40">
      <c r="A40" s="4" t="inlineStr">
        <is>
          <t>Slower adoption case</t>
        </is>
      </c>
      <c r="B40" s="18" t="n">
        <v>0.5</v>
      </c>
      <c r="C40" s="18" t="n">
        <v>0.7</v>
      </c>
      <c r="D40" s="18" t="n">
        <v>0.75</v>
      </c>
    </row>
    <row r="41">
      <c r="A41" s="4" t="inlineStr">
        <is>
          <t>Lower volume case: incident cut</t>
        </is>
      </c>
      <c r="B41" s="1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Token economics per incident</t>
        </is>
      </c>
    </row>
    <row r="2">
      <c r="A2" t="inlineStr">
        <is>
          <t>Anthropic first-party list prices per 1M tokens (verify before use). Thinking tokens bill as output.</t>
        </is>
      </c>
    </row>
    <row r="4">
      <c r="A4" s="2" t="inlineStr">
        <is>
          <t>Model</t>
        </is>
      </c>
      <c r="B4" s="3" t="inlineStr">
        <is>
          <t>Input $/1M</t>
        </is>
      </c>
      <c r="C4" s="3" t="inlineStr">
        <is>
          <t>Output $/1M</t>
        </is>
      </c>
    </row>
    <row r="5">
      <c r="A5" s="4" t="inlineStr">
        <is>
          <t>claude-sonnet-5</t>
        </is>
      </c>
      <c r="B5" s="21" t="n">
        <v>2</v>
      </c>
      <c r="C5" s="21" t="n">
        <v>10</v>
      </c>
    </row>
    <row r="6">
      <c r="A6" s="4" t="inlineStr">
        <is>
          <t>claude-haiku-4-5</t>
        </is>
      </c>
      <c r="B6" s="21" t="n">
        <v>1</v>
      </c>
      <c r="C6" s="21" t="n">
        <v>5</v>
      </c>
    </row>
    <row r="8">
      <c r="A8" s="2" t="inlineStr">
        <is>
          <t>Agent (average tokens per call)</t>
        </is>
      </c>
      <c r="B8" s="3" t="inlineStr">
        <is>
          <t>Input tokens</t>
        </is>
      </c>
      <c r="C8" s="3" t="inlineStr">
        <is>
          <t>Output tokens</t>
        </is>
      </c>
      <c r="D8" s="3" t="inlineStr">
        <is>
          <t>Cost on Sonnet 5</t>
        </is>
      </c>
      <c r="E8" s="3" t="inlineStr">
        <is>
          <t>Cost on Haiku 4.5</t>
        </is>
      </c>
    </row>
    <row r="9">
      <c r="A9" s="4" t="inlineStr">
        <is>
          <t>Triage</t>
        </is>
      </c>
      <c r="B9" s="17" t="n">
        <v>8192</v>
      </c>
      <c r="C9" s="17" t="n">
        <v>2048</v>
      </c>
      <c r="D9" s="22">
        <f>(B9*$B$5+C9*$C$5)/1000000</f>
        <v/>
      </c>
      <c r="E9" s="22">
        <f>(B9*$B$6+C9*$C$6)/1000000</f>
        <v/>
      </c>
    </row>
    <row r="10">
      <c r="A10" s="4" t="inlineStr">
        <is>
          <t>Planner</t>
        </is>
      </c>
      <c r="B10" s="17" t="n">
        <v>4096</v>
      </c>
      <c r="C10" s="17" t="n">
        <v>3072</v>
      </c>
      <c r="D10" s="22">
        <f>(B10*$B$5+C10*$C$5)/1000000</f>
        <v/>
      </c>
      <c r="E10" s="22">
        <f>(B10*$B$6+C10*$C$6)/1000000</f>
        <v/>
      </c>
    </row>
    <row r="11">
      <c r="A11" s="4" t="inlineStr">
        <is>
          <t>Evaluator summary</t>
        </is>
      </c>
      <c r="B11" s="17" t="n">
        <v>2048</v>
      </c>
      <c r="C11" s="17" t="n">
        <v>1024</v>
      </c>
      <c r="D11" s="22">
        <f>(B11*$B$5+C11*$C$5)/1000000</f>
        <v/>
      </c>
      <c r="E11" s="22">
        <f>(B11*$B$6+C11*$C$6)/1000000</f>
        <v/>
      </c>
    </row>
    <row r="13">
      <c r="A13" s="4" t="inlineStr">
        <is>
          <t>Share of P1 incidents</t>
        </is>
      </c>
      <c r="B13" s="18" t="n">
        <v>0.4</v>
      </c>
    </row>
    <row r="14">
      <c r="A14" s="4" t="inlineStr">
        <is>
          <t>Semantic cache hit rate (triage + planner)</t>
        </is>
      </c>
      <c r="B14" s="18" t="n">
        <v>0.2</v>
      </c>
    </row>
    <row r="15">
      <c r="A15" s="4" t="inlineStr">
        <is>
          <t>Overhead multiplier (re-plans, validation retries)</t>
        </is>
      </c>
      <c r="B15" s="23" t="n">
        <v>1.3</v>
      </c>
    </row>
    <row r="17">
      <c r="A17" s="2" t="inlineStr">
        <is>
          <t>Token optimization strategy</t>
        </is>
      </c>
      <c r="B17" s="3" t="inlineStr">
        <is>
          <t>P1 $/incident</t>
        </is>
      </c>
      <c r="C17" s="3" t="inlineStr">
        <is>
          <t>P2 $/incident</t>
        </is>
      </c>
      <c r="D17" s="3" t="inlineStr">
        <is>
          <t>Blended</t>
        </is>
      </c>
      <c r="E17" s="3" t="inlineStr">
        <is>
          <t>After cache</t>
        </is>
      </c>
      <c r="F17" s="3" t="inlineStr">
        <is>
          <t>With overhead</t>
        </is>
      </c>
    </row>
    <row r="18">
      <c r="A18" s="4" t="inlineStr">
        <is>
          <t>All Sonnet 5 (no routing, no cache)</t>
        </is>
      </c>
      <c r="B18" s="22">
        <f>SUM(D9:D11)</f>
        <v/>
      </c>
      <c r="C18" s="22">
        <f>SUM(D9:D11)</f>
        <v/>
      </c>
      <c r="D18" s="22">
        <f>$B$13*B18+(1-$B$13)*C18</f>
        <v/>
      </c>
      <c r="E18" s="22">
        <f>D18</f>
        <v/>
      </c>
      <c r="F18" s="22">
        <f>E18*$B$15</f>
        <v/>
      </c>
    </row>
    <row r="19">
      <c r="A19" s="4" t="inlineStr">
        <is>
          <t>Tiered routing (Sonnet for P1, Haiku otherwise)</t>
        </is>
      </c>
      <c r="B19" s="22">
        <f>D9+D10+E11</f>
        <v/>
      </c>
      <c r="C19" s="22">
        <f>SUM(E9:E11)</f>
        <v/>
      </c>
      <c r="D19" s="22">
        <f>$B$13*B19+(1-$B$13)*C19</f>
        <v/>
      </c>
      <c r="E19" s="22">
        <f>D19</f>
        <v/>
      </c>
      <c r="F19" s="22">
        <f>E19*$B$15</f>
        <v/>
      </c>
    </row>
    <row r="20">
      <c r="A20" s="8" t="inlineStr">
        <is>
          <t>Tiered routing + semantic cache (as built)</t>
        </is>
      </c>
      <c r="B20" s="22">
        <f>B19</f>
        <v/>
      </c>
      <c r="C20" s="22">
        <f>C19</f>
        <v/>
      </c>
      <c r="D20" s="22">
        <f>$B$13*B20+(1-$B$13)*C20</f>
        <v/>
      </c>
      <c r="E20" s="22">
        <f>D20-$B$14*($B$13*(D9+D10)+(1-$B$13)*(E9+E10))</f>
        <v/>
      </c>
      <c r="F20" s="24">
        <f>E20*$B$15</f>
        <v/>
      </c>
    </row>
    <row r="22">
      <c r="A22" s="4" t="inlineStr">
        <is>
          <t>Saving vs all-Sonnet</t>
        </is>
      </c>
      <c r="F22" s="19">
        <f>1-F20/F18</f>
        <v/>
      </c>
    </row>
    <row r="24">
      <c r="A24" s="2" t="inlineStr">
        <is>
          <t>3-year LLM production cost by strategy</t>
        </is>
      </c>
      <c r="B24" s="3" t="inlineStr">
        <is>
          <t>Y1</t>
        </is>
      </c>
      <c r="C24" s="3" t="inlineStr">
        <is>
          <t>Y2</t>
        </is>
      </c>
      <c r="D24" s="3" t="inlineStr">
        <is>
          <t>Y3</t>
        </is>
      </c>
      <c r="E24" s="3" t="inlineStr">
        <is>
          <t>3-year total</t>
        </is>
      </c>
    </row>
    <row r="25">
      <c r="A25" s="4" t="inlineStr">
        <is>
          <t>All Sonnet 5 (no routing, no cache)</t>
        </is>
      </c>
      <c r="B25" s="5">
        <f>TCO!B4*12*$F$18</f>
        <v/>
      </c>
      <c r="C25" s="5">
        <f>TCO!C4*12*$F$18</f>
        <v/>
      </c>
      <c r="D25" s="5">
        <f>TCO!D4*12*$F$18</f>
        <v/>
      </c>
      <c r="E25" s="6">
        <f>SUM(B25:D25)</f>
        <v/>
      </c>
    </row>
    <row r="26">
      <c r="A26" s="4" t="inlineStr">
        <is>
          <t>Tiered routing (Sonnet for P1, Haiku otherwise)</t>
        </is>
      </c>
      <c r="B26" s="5">
        <f>TCO!B4*12*$F$19</f>
        <v/>
      </c>
      <c r="C26" s="5">
        <f>TCO!C4*12*$F$19</f>
        <v/>
      </c>
      <c r="D26" s="5">
        <f>TCO!D4*12*$F$19</f>
        <v/>
      </c>
      <c r="E26" s="6">
        <f>SUM(B26:D26)</f>
        <v/>
      </c>
    </row>
    <row r="27">
      <c r="A27" s="4" t="inlineStr">
        <is>
          <t>Tiered routing + semantic cache (as built)</t>
        </is>
      </c>
      <c r="B27" s="5">
        <f>TCO!B4*12*$F$20</f>
        <v/>
      </c>
      <c r="C27" s="5">
        <f>TCO!C4*12*$F$20</f>
        <v/>
      </c>
      <c r="D27" s="5">
        <f>TCO!D4*12*$F$20</f>
        <v/>
      </c>
      <c r="E27" s="6">
        <f>SUM(B27:D27)</f>
        <v/>
      </c>
    </row>
    <row r="29">
      <c r="A29" s="8" t="inlineStr">
        <is>
          <t>Measured on OpenAI (token ledger, live rehearsals)</t>
        </is>
      </c>
    </row>
    <row r="30">
      <c r="A30" s="2" t="inlineStr">
        <is>
          <t>Measurement</t>
        </is>
      </c>
      <c r="B30" s="3" t="inlineStr">
        <is>
          <t>Value</t>
        </is>
      </c>
      <c r="C30" s="3" t="inlineStr">
        <is>
          <t>Note</t>
        </is>
      </c>
    </row>
    <row r="31">
      <c r="A31" s="4" t="inlineStr">
        <is>
          <t>Avg LLM cost, P1 / tier-1 incident (gpt-5.4 triage + planner, mini summary)</t>
        </is>
      </c>
      <c r="B31" s="25" t="n">
        <v>0.0227</v>
      </c>
      <c r="C31" t="inlineStr">
        <is>
          <t>n = 21 incidents</t>
        </is>
      </c>
    </row>
    <row r="32">
      <c r="A32" s="4" t="inlineStr">
        <is>
          <t>Avg LLM cost, P2 incident (all gpt-5.4-mini)</t>
        </is>
      </c>
      <c r="B32" s="25" t="n">
        <v>0.0055</v>
      </c>
      <c r="C32" t="inlineStr">
        <is>
          <t>n = 7 incidents</t>
        </is>
      </c>
    </row>
    <row r="33">
      <c r="A33" s="4" t="inlineStr">
        <is>
          <t>Avg LLM cost, semantic-cache hit (summary call only)</t>
        </is>
      </c>
      <c r="B33" s="25" t="n">
        <v>0.0008</v>
      </c>
      <c r="C33" t="inlineStr">
        <is>
          <t>n = 13 incidents</t>
        </is>
      </c>
    </row>
    <row r="34">
      <c r="A34" s="4" t="inlineStr">
        <is>
          <t>Share of input tokens served from the prompt cache</t>
        </is>
      </c>
      <c r="B34" s="18" t="n">
        <v>0.76</v>
      </c>
      <c r="C34" t="inlineStr">
        <is>
          <t>OpenAI automatic prompt caching</t>
        </is>
      </c>
    </row>
    <row r="35">
      <c r="A35" s="4" t="inlineStr">
        <is>
          <t>Avg triage call on gpt-5.4</t>
        </is>
      </c>
      <c r="B35" s="25" t="n">
        <v>0.00576</v>
      </c>
      <c r="C35" t="inlineStr">
        <is>
          <t>measured per call</t>
        </is>
      </c>
    </row>
    <row r="36">
      <c r="A36" s="4" t="inlineStr">
        <is>
          <t>Avg planner call on gpt-5.4</t>
        </is>
      </c>
      <c r="B36" s="25" t="n">
        <v>0.01606</v>
      </c>
      <c r="C36" t="inlineStr">
        <is>
          <t>measured per call</t>
        </is>
      </c>
    </row>
    <row r="37">
      <c r="A37" s="4" t="inlineStr">
        <is>
          <t>Avg summary call: input tokens</t>
        </is>
      </c>
      <c r="B37" s="17" t="n">
        <v>3138</v>
      </c>
      <c r="C37" t="inlineStr">
        <is>
          <t>measured on gpt-5.4-mini</t>
        </is>
      </c>
    </row>
    <row r="38">
      <c r="A38" s="4" t="inlineStr">
        <is>
          <t>Avg summary call: output tokens</t>
        </is>
      </c>
      <c r="B38" s="17" t="n">
        <v>86</v>
      </c>
      <c r="C38" t="inlineStr">
        <is>
          <t>measured on gpt-5.4-mini</t>
        </is>
      </c>
    </row>
    <row r="39">
      <c r="A39" s="4" t="inlineStr">
        <is>
          <t>gpt-5.4 price $/1M: input / cached input / output</t>
        </is>
      </c>
      <c r="B39" s="21" t="n">
        <v>2.5</v>
      </c>
      <c r="C39" s="21" t="n">
        <v>0.25</v>
      </c>
      <c r="D39" s="21" t="n">
        <v>15</v>
      </c>
    </row>
    <row r="40">
      <c r="A40" s="4" t="inlineStr">
        <is>
          <t>Summary call on gpt-5.4 (estimate from measured tokens)</t>
        </is>
      </c>
      <c r="B40" s="22">
        <f>(B37*((1-B34)*B39+B34*C39)+B38*D39)/1000000</f>
        <v/>
      </c>
    </row>
    <row r="42">
      <c r="A42" s="2" t="inlineStr">
        <is>
          <t>OpenAI strategy (measured)</t>
        </is>
      </c>
      <c r="B42" s="3" t="inlineStr">
        <is>
          <t>$ per incident</t>
        </is>
      </c>
      <c r="C42" s="3" t="inlineStr">
        <is>
          <t>vs all-deep</t>
        </is>
      </c>
    </row>
    <row r="43">
      <c r="A43" s="4" t="inlineStr">
        <is>
          <t>All gpt-5.4 (no routing, no semantic cache)</t>
        </is>
      </c>
      <c r="B43" s="22">
        <f>B35+B36+B40</f>
        <v/>
      </c>
      <c r="C43" s="19">
        <f>1-B43/$B$43</f>
        <v/>
      </c>
    </row>
    <row r="44">
      <c r="A44" s="4" t="inlineStr">
        <is>
          <t>Tiered routing (gpt-5.4 for P1/tier-1, mini otherwise)</t>
        </is>
      </c>
      <c r="B44" s="22">
        <f>$B$13*B31+(1-$B$13)*B32</f>
        <v/>
      </c>
      <c r="C44" s="19">
        <f>1-B44/$B$43</f>
        <v/>
      </c>
    </row>
    <row r="45">
      <c r="A45" s="8" t="inlineStr">
        <is>
          <t>Tiered routing + semantic cache (as built)</t>
        </is>
      </c>
      <c r="B45" s="24">
        <f>(1-$B$14)*B44+$B$14*B33</f>
        <v/>
      </c>
      <c r="C45" s="19">
        <f>1-B45/$B$43</f>
        <v/>
      </c>
    </row>
    <row r="46">
      <c r="A46" t="inlineStr">
        <is>
          <t>Measured costs already include retries and re-plans that happened, so no overhead multiplier is applied. The Claude rows above are modeled.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Total cost of ownership</t>
        </is>
      </c>
    </row>
    <row r="3">
      <c r="A3" s="2" t="inlineStr">
        <is>
          <t>Line ($ / month unless noted)</t>
        </is>
      </c>
      <c r="B3" s="3" t="inlineStr">
        <is>
          <t>Y1</t>
        </is>
      </c>
      <c r="C3" s="3" t="inlineStr">
        <is>
          <t>Y2</t>
        </is>
      </c>
      <c r="D3" s="3" t="inlineStr">
        <is>
          <t>Y3</t>
        </is>
      </c>
    </row>
    <row r="4">
      <c r="A4" s="4" t="inlineStr">
        <is>
          <t>Incidents per month</t>
        </is>
      </c>
      <c r="B4" s="26">
        <f>Inputs!B5</f>
        <v/>
      </c>
      <c r="C4" s="26">
        <f>B4*(1+Inputs!$B$6)</f>
        <v/>
      </c>
      <c r="D4" s="26">
        <f>C4*(1+Inputs!$B$6)</f>
        <v/>
      </c>
    </row>
    <row r="5">
      <c r="A5" s="4" t="inlineStr">
        <is>
          <t>Infrastructure subtotal</t>
        </is>
      </c>
      <c r="B5" s="5">
        <f>SUM(Inputs!B28:B35)</f>
        <v/>
      </c>
      <c r="C5" s="5">
        <f>SUM(Inputs!C28:C35)</f>
        <v/>
      </c>
      <c r="D5" s="5">
        <f>SUM(Inputs!D28:D35)</f>
        <v/>
      </c>
    </row>
    <row r="6">
      <c r="A6" s="4" t="inlineStr">
        <is>
          <t>LLM production (all incidents x measured cost per incident)</t>
        </is>
      </c>
      <c r="B6" s="5">
        <f>B4*'Token Economics'!$B$45</f>
        <v/>
      </c>
      <c r="C6" s="5">
        <f>C4*'Token Economics'!$B$45</f>
        <v/>
      </c>
      <c r="D6" s="5">
        <f>D4*'Token Economics'!$B$45</f>
        <v/>
      </c>
    </row>
    <row r="7">
      <c r="A7" s="4" t="inlineStr">
        <is>
          <t>LLM evaluation + staging</t>
        </is>
      </c>
      <c r="B7" s="5">
        <f>Inputs!$B$17</f>
        <v/>
      </c>
      <c r="C7" s="5">
        <f>Inputs!$B$17</f>
        <v/>
      </c>
      <c r="D7" s="5">
        <f>Inputs!$B$17</f>
        <v/>
      </c>
    </row>
    <row r="8">
      <c r="A8" s="4" t="inlineStr">
        <is>
          <t>Platform maintenance</t>
        </is>
      </c>
      <c r="B8" s="5">
        <f>Inputs!B16*Inputs!$B$4</f>
        <v/>
      </c>
      <c r="C8" s="5">
        <f>Inputs!C16*Inputs!$B$4</f>
        <v/>
      </c>
      <c r="D8" s="5">
        <f>Inputs!D16*Inputs!$B$4</f>
        <v/>
      </c>
    </row>
    <row r="9">
      <c r="A9" s="8" t="inlineStr">
        <is>
          <t>Total per month</t>
        </is>
      </c>
      <c r="B9" s="9">
        <f>SUM(B5:B8)</f>
        <v/>
      </c>
      <c r="C9" s="9">
        <f>SUM(C5:C8)</f>
        <v/>
      </c>
      <c r="D9" s="9">
        <f>SUM(D5:D8)</f>
        <v/>
      </c>
    </row>
    <row r="10">
      <c r="A10" s="8" t="inlineStr">
        <is>
          <t>Total per year</t>
        </is>
      </c>
      <c r="B10" s="9">
        <f>B9*12</f>
        <v/>
      </c>
      <c r="C10" s="9">
        <f>C9*12</f>
        <v/>
      </c>
      <c r="D10" s="9">
        <f>D9*12</f>
        <v/>
      </c>
    </row>
    <row r="12">
      <c r="A12" s="8" t="inlineStr">
        <is>
          <t>Year 0 (one-time)</t>
        </is>
      </c>
    </row>
    <row r="13">
      <c r="A13" s="4" t="inlineStr">
        <is>
          <t>Capstone build (hours x rate)</t>
        </is>
      </c>
      <c r="B13" s="5">
        <f>Inputs!B22*Inputs!B4</f>
        <v/>
      </c>
    </row>
    <row r="14">
      <c r="A14" s="4" t="inlineStr">
        <is>
          <t>Productionization</t>
        </is>
      </c>
      <c r="B14" s="5">
        <f>Inputs!B23</f>
        <v/>
      </c>
    </row>
    <row r="15">
      <c r="A15" s="4" t="inlineStr">
        <is>
          <t>Landing zone + hardening</t>
        </is>
      </c>
      <c r="B15" s="5">
        <f>Inputs!B24</f>
        <v/>
      </c>
    </row>
    <row r="16">
      <c r="A16" s="4" t="inlineStr">
        <is>
          <t>Policy authoring + review</t>
        </is>
      </c>
      <c r="B16" s="5">
        <f>Inputs!B25</f>
        <v/>
      </c>
    </row>
    <row r="17">
      <c r="A17" s="8" t="inlineStr">
        <is>
          <t>Total Year 0</t>
        </is>
      </c>
      <c r="B17" s="9">
        <f>SUM(B13:B16)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Benefits: SRE capacity freed (valued at the loaded rate, not headcount cuts)</t>
        </is>
      </c>
    </row>
    <row r="3">
      <c r="A3" s="2" t="inlineStr">
        <is>
          <t>Line (per month unless noted)</t>
        </is>
      </c>
      <c r="B3" s="3" t="inlineStr">
        <is>
          <t>Y1</t>
        </is>
      </c>
      <c r="C3" s="3" t="inlineStr">
        <is>
          <t>Y2</t>
        </is>
      </c>
      <c r="D3" s="3" t="inlineStr">
        <is>
          <t>Y3</t>
        </is>
      </c>
    </row>
    <row r="4">
      <c r="A4" s="4" t="inlineStr">
        <is>
          <t>Incidents through the platform</t>
        </is>
      </c>
      <c r="B4" s="27">
        <f>TCO!B4*Inputs!B7</f>
        <v/>
      </c>
      <c r="C4" s="27">
        <f>TCO!C4*Inputs!C7</f>
        <v/>
      </c>
      <c r="D4" s="27">
        <f>TCO!D4*Inputs!D7</f>
        <v/>
      </c>
    </row>
    <row r="5">
      <c r="A5" s="4" t="inlineStr">
        <is>
          <t>Automated incidents</t>
        </is>
      </c>
      <c r="B5" s="27">
        <f>B4*Inputs!B8</f>
        <v/>
      </c>
      <c r="C5" s="27">
        <f>C4*Inputs!C8</f>
        <v/>
      </c>
      <c r="D5" s="27">
        <f>D4*Inputs!D8</f>
        <v/>
      </c>
    </row>
    <row r="6">
      <c r="A6" s="4" t="inlineStr">
        <is>
          <t>HITL incidents</t>
        </is>
      </c>
      <c r="B6" s="27">
        <f>B4*Inputs!B9</f>
        <v/>
      </c>
      <c r="C6" s="27">
        <f>C4*Inputs!C9</f>
        <v/>
      </c>
      <c r="D6" s="27">
        <f>D4*Inputs!D9</f>
        <v/>
      </c>
    </row>
    <row r="7">
      <c r="A7" s="4" t="inlineStr">
        <is>
          <t>Escalated incidents</t>
        </is>
      </c>
      <c r="B7" s="27">
        <f>B4*Inputs!B10</f>
        <v/>
      </c>
      <c r="C7" s="27">
        <f>C4*Inputs!C10</f>
        <v/>
      </c>
      <c r="D7" s="27">
        <f>D4*Inputs!D10</f>
        <v/>
      </c>
    </row>
    <row r="8">
      <c r="A8" s="4" t="inlineStr">
        <is>
          <t>Minutes saved: automated</t>
        </is>
      </c>
      <c r="B8" s="26">
        <f>B5*Inputs!$B$11</f>
        <v/>
      </c>
      <c r="C8" s="26">
        <f>C5*Inputs!$B$11</f>
        <v/>
      </c>
      <c r="D8" s="26">
        <f>D5*Inputs!$B$11</f>
        <v/>
      </c>
    </row>
    <row r="9">
      <c r="A9" s="4" t="inlineStr">
        <is>
          <t>Minutes saved: HITL</t>
        </is>
      </c>
      <c r="B9" s="26">
        <f>B6*Inputs!$B$12</f>
        <v/>
      </c>
      <c r="C9" s="26">
        <f>C6*Inputs!$B$12</f>
        <v/>
      </c>
      <c r="D9" s="26">
        <f>D6*Inputs!$B$12</f>
        <v/>
      </c>
    </row>
    <row r="10">
      <c r="A10" s="4" t="inlineStr">
        <is>
          <t>Minutes saved: escalated</t>
        </is>
      </c>
      <c r="B10" s="26">
        <f>B7*Inputs!$B$13</f>
        <v/>
      </c>
      <c r="C10" s="26">
        <f>C7*Inputs!$B$13</f>
        <v/>
      </c>
      <c r="D10" s="26">
        <f>D7*Inputs!$B$13</f>
        <v/>
      </c>
    </row>
    <row r="11">
      <c r="A11" s="4" t="inlineStr">
        <is>
          <t>Bad-remediation cleanup (minutes)</t>
        </is>
      </c>
      <c r="B11" s="26">
        <f>-(B5+B6)*Inputs!B14*Inputs!$B$15</f>
        <v/>
      </c>
      <c r="C11" s="26">
        <f>-(C5+C6)*Inputs!C14*Inputs!$B$15</f>
        <v/>
      </c>
      <c r="D11" s="26">
        <f>-(D5+D6)*Inputs!D14*Inputs!$B$15</f>
        <v/>
      </c>
    </row>
    <row r="12">
      <c r="A12" s="8" t="inlineStr">
        <is>
          <t>Net minutes saved</t>
        </is>
      </c>
      <c r="B12" s="28">
        <f>SUM(B8:B11)</f>
        <v/>
      </c>
      <c r="C12" s="28">
        <f>SUM(C8:C11)</f>
        <v/>
      </c>
      <c r="D12" s="28">
        <f>SUM(D8:D11)</f>
        <v/>
      </c>
    </row>
    <row r="13">
      <c r="A13" s="4" t="inlineStr">
        <is>
          <t>SRE hours freed</t>
        </is>
      </c>
      <c r="B13" s="29">
        <f>B12/60</f>
        <v/>
      </c>
      <c r="C13" s="29">
        <f>C12/60</f>
        <v/>
      </c>
      <c r="D13" s="29">
        <f>D12/60</f>
        <v/>
      </c>
    </row>
    <row r="14">
      <c r="A14" s="8" t="inlineStr">
        <is>
          <t>Annual value ($ / year)</t>
        </is>
      </c>
      <c r="B14" s="9">
        <f>B13*12*Inputs!$B$4</f>
        <v/>
      </c>
      <c r="C14" s="9">
        <f>C13*12*Inputs!$B$4</f>
        <v/>
      </c>
      <c r="D14" s="9">
        <f>D13*12*Inputs!$B$4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Sensitivity: 3-year net</t>
        </is>
      </c>
    </row>
    <row r="3">
      <c r="A3" s="2" t="inlineStr">
        <is>
          <t>Case</t>
        </is>
      </c>
      <c r="B3" s="3" t="inlineStr">
        <is>
          <t>3-year net</t>
        </is>
      </c>
      <c r="C3" s="3" t="inlineStr">
        <is>
          <t>Change vs base</t>
        </is>
      </c>
    </row>
    <row r="4">
      <c r="A4" s="4" t="inlineStr">
        <is>
          <t>Base</t>
        </is>
      </c>
      <c r="B4" s="5">
        <f>Summary!E8</f>
        <v/>
      </c>
      <c r="C4" s="6">
        <f>B4-$B$4</f>
        <v/>
      </c>
    </row>
    <row r="5">
      <c r="A5" s="4" t="inlineStr">
        <is>
          <t>Lower automation (points automated -&gt; HITL, Inputs!B39)</t>
        </is>
      </c>
      <c r="B5" s="5">
        <f>B4-SUMPRODUCT(Benefits!B4:D4)*Inputs!B39*(Inputs!B11-Inputs!B12)*12/60*Inputs!B4</f>
        <v/>
      </c>
      <c r="C5" s="6">
        <f>B5-$B$4</f>
        <v/>
      </c>
    </row>
    <row r="6">
      <c r="A6" s="4" t="inlineStr">
        <is>
          <t>Slower adoption (Inputs row 40)</t>
        </is>
      </c>
      <c r="B6" s="5">
        <f>B4-(Benefits!B14*(1-Inputs!B40/Inputs!B7)+Benefits!C14*(1-Inputs!C40/Inputs!C7)+Benefits!D14*(1-Inputs!D40/Inputs!D7))</f>
        <v/>
      </c>
      <c r="C6" s="6">
        <f>B6-$B$4</f>
        <v/>
      </c>
    </row>
    <row r="7">
      <c r="A7" s="4" t="inlineStr">
        <is>
          <t>Lower volume (Inputs!B41 fewer incidents)</t>
        </is>
      </c>
      <c r="B7" s="5">
        <f>B4-Inputs!B41*Summary!C9+Inputs!B41*SUM(TCO!B6:D6)*12</f>
        <v/>
      </c>
      <c r="C7" s="6">
        <f>B7-$B$4</f>
        <v/>
      </c>
    </row>
    <row r="8">
      <c r="A8" s="4" t="inlineStr">
        <is>
          <t>LLM prices x2</t>
        </is>
      </c>
      <c r="B8" s="5">
        <f>B4-SUM(TCO!B6:D7)*12</f>
        <v/>
      </c>
      <c r="C8" s="6">
        <f>B8-$B$4</f>
        <v/>
      </c>
    </row>
    <row r="9">
      <c r="A9" s="4" t="inlineStr">
        <is>
          <t>Productionization +50 %</t>
        </is>
      </c>
      <c r="B9" s="5">
        <f>B4-0.5*Inputs!B23</f>
        <v/>
      </c>
      <c r="C9" s="6">
        <f>B9-$B$4</f>
        <v/>
      </c>
    </row>
    <row r="10">
      <c r="A10" s="4" t="inlineStr">
        <is>
          <t>Azure warm DR</t>
        </is>
      </c>
      <c r="B10" s="5">
        <f>B4-Inputs!B19*36</f>
        <v/>
      </c>
      <c r="C10" s="6">
        <f>B10-$B$4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2026-09-27T05:14:40Z</dcterms:created>
  <dcterms:modified xsi:type="dcterms:W3CDTF">2026-09-27T05:14:40Z</dcterms:modified>
</cp:coreProperties>
</file>